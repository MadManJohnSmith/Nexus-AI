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<sst xmlns="http://schemas.openxmlformats.org/spreadsheetml/2006/main" count="35" uniqueCount="29">
  <si>
    <t>Participant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</si>
  <si>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</si>
  <si>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</si>
  <si>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</si>
  <si>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</si>
  <si>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</si>
  <si>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</si>
  <si>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</si>
  <si>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</si>
  <si>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</si>
  <si>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</si>
  <si>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SUM</t>
  </si>
  <si>
    <t>SUS</t>
  </si>
  <si>
    <t>P1</t>
  </si>
  <si>
    <t>P2</t>
  </si>
  <si>
    <t>P3</t>
  </si>
  <si>
    <t>P4</t>
  </si>
  <si>
    <t>P5</t>
  </si>
  <si>
    <t>SCORE CALCULATION TABLE</t>
  </si>
  <si>
    <t>Q1_adj</t>
  </si>
  <si>
    <t>Q2_adj</t>
  </si>
  <si>
    <t>Q3_adj</t>
  </si>
  <si>
    <t>Q4_adj</t>
  </si>
  <si>
    <t>Q5_adj</t>
  </si>
  <si>
    <t>Q6_adj</t>
  </si>
  <si>
    <t>Q7_adj</t>
  </si>
  <si>
    <t>Q8_adj</t>
  </si>
  <si>
    <t>Q9_adj</t>
  </si>
  <si>
    <t>Q10_adj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</si>
</sst>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13</v>
      </c>
      <c r="B2" s="4">
        <v>5.0</v>
      </c>
      <c r="C2" s="4">
        <v>1.0</v>
      </c>
      <c r="D2" s="4">
        <v>5.0</v>
      </c>
      <c r="E2" s="4">
        <v>2.0</v>
      </c>
      <c r="F2" s="4">
        <v>5.0</v>
      </c>
      <c r="G2" s="4">
        <v>1.0</v>
      </c>
      <c r="H2" s="4">
        <v>5.0</v>
      </c>
      <c r="I2" s="4">
        <v>1.0</v>
      </c>
      <c r="J2" s="4">
        <v>4.0</v>
      </c>
      <c r="K2" s="4">
        <v>1.0</v>
      </c>
      <c r="L2" s="2">
        <f t="shared" ref="L2:L6" si="1">SUM(A11:J11)</f>
        <v>38</v>
      </c>
      <c r="M2" s="2">
        <f t="shared" ref="M2:M6" si="2">L2*2.5</f>
        <v>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14</v>
      </c>
      <c r="B3" s="4">
        <v>5.0</v>
      </c>
      <c r="C3" s="4">
        <v>1.0</v>
      </c>
      <c r="D3" s="4">
        <v>4.0</v>
      </c>
      <c r="E3" s="4">
        <v>2.0</v>
      </c>
      <c r="F3" s="4">
        <v>5.0</v>
      </c>
      <c r="G3" s="4">
        <v>1.0</v>
      </c>
      <c r="H3" s="4">
        <v>5.0</v>
      </c>
      <c r="I3" s="4">
        <v>1.0</v>
      </c>
      <c r="J3" s="4">
        <v>5.0</v>
      </c>
      <c r="K3" s="4">
        <v>1.0</v>
      </c>
      <c r="L3" s="2">
        <f t="shared" si="1"/>
        <v>38</v>
      </c>
      <c r="M3" s="2">
        <f t="shared" si="2"/>
        <v>95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15</v>
      </c>
      <c r="B4" s="4">
        <v>5.0</v>
      </c>
      <c r="C4" s="4">
        <v>1.0</v>
      </c>
      <c r="D4" s="4">
        <v>5.0</v>
      </c>
      <c r="E4" s="4">
        <v>1.0</v>
      </c>
      <c r="F4" s="4">
        <v>5.0</v>
      </c>
      <c r="G4" s="4">
        <v>1.0</v>
      </c>
      <c r="H4" s="4">
        <v>5.0</v>
      </c>
      <c r="I4" s="4">
        <v>1.0</v>
      </c>
      <c r="J4" s="4">
        <v>5.0</v>
      </c>
      <c r="K4" s="4">
        <v>1.0</v>
      </c>
      <c r="L4" s="2">
        <f t="shared" si="1"/>
        <v>40</v>
      </c>
      <c r="M4" s="2">
        <f t="shared" si="2"/>
        <v>100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16</v>
      </c>
      <c r="B5" s="4">
        <v>5.0</v>
      </c>
      <c r="C5" s="4">
        <v>1.0</v>
      </c>
      <c r="D5" s="4">
        <v>5.0</v>
      </c>
      <c r="E5" s="4">
        <v>1.0</v>
      </c>
      <c r="F5" s="4">
        <v>5.0</v>
      </c>
      <c r="G5" s="4">
        <v>1.0</v>
      </c>
      <c r="H5" s="4">
        <v>5.0</v>
      </c>
      <c r="I5" s="4">
        <v>1.0</v>
      </c>
      <c r="J5" s="4">
        <v>5.0</v>
      </c>
      <c r="K5" s="4">
        <v>1.0</v>
      </c>
      <c r="L5" s="2">
        <f t="shared" si="1"/>
        <v>40</v>
      </c>
      <c r="M5" s="2">
        <f t="shared" si="2"/>
        <v>100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17</v>
      </c>
      <c r="B6" s="4">
        <v>5.0</v>
      </c>
      <c r="C6" s="4">
        <v>1.0</v>
      </c>
      <c r="D6" s="4">
        <v>5.0</v>
      </c>
      <c r="E6" s="4">
        <v>2.0</v>
      </c>
      <c r="F6" s="4">
        <v>5.0</v>
      </c>
      <c r="G6" s="4">
        <v>1.0</v>
      </c>
      <c r="H6" s="4">
        <v>5.0</v>
      </c>
      <c r="I6" s="4">
        <v>1.0</v>
      </c>
      <c r="J6" s="4">
        <v>5.0</v>
      </c>
      <c r="K6" s="4">
        <v>1.0</v>
      </c>
      <c r="L6" s="2">
        <f t="shared" si="1"/>
        <v>39</v>
      </c>
      <c r="M6" s="2">
        <f t="shared" si="2"/>
        <v>97.5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18</v>
      </c>
    </row>
    <row r="10">
      <c r="A10" s="7" t="s">
        <v>19</v>
      </c>
      <c r="B10" s="7" t="s">
        <v>20</v>
      </c>
      <c r="C10" s="7" t="s">
        <v>21</v>
      </c>
      <c r="D10" s="7" t="s">
        <v>22</v>
      </c>
      <c r="E10" s="7" t="s">
        <v>23</v>
      </c>
      <c r="F10" s="7" t="s">
        <v>24</v>
      </c>
      <c r="G10" s="7" t="s">
        <v>25</v>
      </c>
      <c r="H10" s="7" t="s">
        <v>26</v>
      </c>
      <c r="I10" s="7" t="s">
        <v>27</v>
      </c>
      <c r="J10" s="7" t="s">
        <v>28</v>
      </c>
      <c r="K10" s="3" t="s">
        <v>0</v>
      </c>
      <c r="L10" s="6"/>
    </row>
    <row r="11">
      <c r="A11" s="8">
        <f t="shared" ref="A11:A15" si="3">B2-1</f>
        <v>4</v>
      </c>
      <c r="B11" s="8">
        <f t="shared" ref="B11:B15" si="4"> 5-C2</f>
        <v>4</v>
      </c>
      <c r="C11" s="8">
        <f t="shared" ref="C11:C15" si="5">D2-1</f>
        <v>4</v>
      </c>
      <c r="D11" s="8">
        <f t="shared" ref="D11:D15" si="6">5-E2</f>
        <v>3</v>
      </c>
      <c r="E11" s="8">
        <f t="shared" ref="E11:E15" si="7">F2-1</f>
        <v>4</v>
      </c>
      <c r="F11" s="8">
        <f t="shared" ref="F11:F15" si="8"> 5-G2</f>
        <v>4</v>
      </c>
      <c r="G11" s="8">
        <f t="shared" ref="G11:G15" si="9">H2-1</f>
        <v>4</v>
      </c>
      <c r="H11" s="8">
        <f t="shared" ref="H11:H15" si="10">5-I2</f>
        <v>4</v>
      </c>
      <c r="I11" s="8">
        <f t="shared" ref="I11:I15" si="11">J2-1</f>
        <v>3</v>
      </c>
      <c r="J11" s="8">
        <f t="shared" ref="J11:J15" si="12">5-K2</f>
        <v>4</v>
      </c>
      <c r="K11" s="4" t="s">
        <v>13</v>
      </c>
    </row>
    <row r="12">
      <c r="A12" s="8">
        <f t="shared" si="3"/>
        <v>4</v>
      </c>
      <c r="B12" s="8">
        <f t="shared" si="4"/>
        <v>4</v>
      </c>
      <c r="C12" s="8">
        <f t="shared" si="5"/>
        <v>3</v>
      </c>
      <c r="D12" s="8">
        <f t="shared" si="6"/>
        <v>3</v>
      </c>
      <c r="E12" s="8">
        <f t="shared" si="7"/>
        <v>4</v>
      </c>
      <c r="F12" s="8">
        <f t="shared" si="8"/>
        <v>4</v>
      </c>
      <c r="G12" s="8">
        <f t="shared" si="9"/>
        <v>4</v>
      </c>
      <c r="H12" s="8">
        <f t="shared" si="10"/>
        <v>4</v>
      </c>
      <c r="I12" s="8">
        <f t="shared" si="11"/>
        <v>4</v>
      </c>
      <c r="J12" s="8">
        <f t="shared" si="12"/>
        <v>4</v>
      </c>
      <c r="K12" s="4" t="s">
        <v>14</v>
      </c>
    </row>
    <row r="13">
      <c r="A13" s="8">
        <f t="shared" si="3"/>
        <v>4</v>
      </c>
      <c r="B13" s="8">
        <f t="shared" si="4"/>
        <v>4</v>
      </c>
      <c r="C13" s="8">
        <f t="shared" si="5"/>
        <v>4</v>
      </c>
      <c r="D13" s="8">
        <f t="shared" si="6"/>
        <v>4</v>
      </c>
      <c r="E13" s="8">
        <f t="shared" si="7"/>
        <v>4</v>
      </c>
      <c r="F13" s="8">
        <f t="shared" si="8"/>
        <v>4</v>
      </c>
      <c r="G13" s="8">
        <f t="shared" si="9"/>
        <v>4</v>
      </c>
      <c r="H13" s="8">
        <f t="shared" si="10"/>
        <v>4</v>
      </c>
      <c r="I13" s="8">
        <f t="shared" si="11"/>
        <v>4</v>
      </c>
      <c r="J13" s="8">
        <f t="shared" si="12"/>
        <v>4</v>
      </c>
      <c r="K13" s="4" t="s">
        <v>15</v>
      </c>
    </row>
    <row r="14">
      <c r="A14" s="8">
        <f t="shared" si="3"/>
        <v>4</v>
      </c>
      <c r="B14" s="8">
        <f t="shared" si="4"/>
        <v>4</v>
      </c>
      <c r="C14" s="8">
        <f t="shared" si="5"/>
        <v>4</v>
      </c>
      <c r="D14" s="8">
        <f t="shared" si="6"/>
        <v>4</v>
      </c>
      <c r="E14" s="8">
        <f t="shared" si="7"/>
        <v>4</v>
      </c>
      <c r="F14" s="8">
        <f t="shared" si="8"/>
        <v>4</v>
      </c>
      <c r="G14" s="8">
        <f t="shared" si="9"/>
        <v>4</v>
      </c>
      <c r="H14" s="8">
        <f t="shared" si="10"/>
        <v>4</v>
      </c>
      <c r="I14" s="8">
        <f t="shared" si="11"/>
        <v>4</v>
      </c>
      <c r="J14" s="8">
        <f t="shared" si="12"/>
        <v>4</v>
      </c>
      <c r="K14" s="4" t="s">
        <v>16</v>
      </c>
    </row>
    <row r="15">
      <c r="A15" s="8">
        <f t="shared" si="3"/>
        <v>4</v>
      </c>
      <c r="B15" s="8">
        <f t="shared" si="4"/>
        <v>4</v>
      </c>
      <c r="C15" s="8">
        <f t="shared" si="5"/>
        <v>4</v>
      </c>
      <c r="D15" s="8">
        <f t="shared" si="6"/>
        <v>3</v>
      </c>
      <c r="E15" s="8">
        <f t="shared" si="7"/>
        <v>4</v>
      </c>
      <c r="F15" s="8">
        <f t="shared" si="8"/>
        <v>4</v>
      </c>
      <c r="G15" s="8">
        <f t="shared" si="9"/>
        <v>4</v>
      </c>
      <c r="H15" s="8">
        <f t="shared" si="10"/>
        <v>4</v>
      </c>
      <c r="I15" s="8">
        <f t="shared" si="11"/>
        <v>4</v>
      </c>
      <c r="J15" s="8">
        <f t="shared" si="12"/>
        <v>4</v>
      </c>
      <c r="K15" s="4" t="s">
        <v>17</v>
      </c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</row>
  </sheetData>
  <drawing r:id="rId1"/>
</worksheet>
</file>