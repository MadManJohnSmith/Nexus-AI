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EQ_P1" sheetId="1" r:id="rId5"/>
    <sheet state="visible" name="UEQ_P2" sheetId="2" r:id="rId6"/>
    <sheet state="visible" name="UEQ_P3" sheetId="3" r:id="rId7"/>
    <sheet state="visible" name="UEQ_P4" sheetId="4" r:id="rId8"/>
    <sheet state="visible" name="UEQ_P5" sheetId="5" r:id="rId9"/>
    <sheet state="visible" name="UEQ_SCALES_BY_PARTICIPANT" sheetId="6" r:id="rId10"/>
    <sheet state="visible" name="UEQ_FINAL" sheetId="7" r:id="rId11"/>
  </sheets>
  <definedNames/>
  <calcPr/>
</workbook>
</file>

<file path=xl/sharedStrings.xml><?xml version="1.0" encoding="utf-8"?>
<sst xmlns="http://schemas.openxmlformats.org/spreadsheetml/2006/main" count="160" uniqueCount="42">
  <si>
    <t>Item</t>
  </si>
  <si>
    <t>Value</t>
  </si>
  <si>
    <t>annoying / enjoyable</t>
  </si>
  <si>
    <t>not understandable / understandable</t>
  </si>
  <si>
    <t>creative / dull</t>
  </si>
  <si>
    <t>easy to learn / difficult to learn</t>
  </si>
  <si>
    <t>valuable / inferior</t>
  </si>
  <si>
    <t>boring / exciting</t>
  </si>
  <si>
    <t>not interesting / interesting</t>
  </si>
  <si>
    <t>unpredictable / predictable</t>
  </si>
  <si>
    <t>fast / slow</t>
  </si>
  <si>
    <t>inventive / conventional</t>
  </si>
  <si>
    <t>obstructive / supportive</t>
  </si>
  <si>
    <t>good / bad</t>
  </si>
  <si>
    <t>complicated / easy</t>
  </si>
  <si>
    <t>unlikable / pleasing</t>
  </si>
  <si>
    <t>usual / leading edge</t>
  </si>
  <si>
    <t>unpleasant / pleasant</t>
  </si>
  <si>
    <t>secure / not secure</t>
  </si>
  <si>
    <t>motivating / demotivating</t>
  </si>
  <si>
    <t>meets expectations / does not meet</t>
  </si>
  <si>
    <t>inefficient / efficient</t>
  </si>
  <si>
    <t>clear / confusing</t>
  </si>
  <si>
    <t>impractical / practical</t>
  </si>
  <si>
    <t>organized / cluttered</t>
  </si>
  <si>
    <t>attractive / unattractive</t>
  </si>
  <si>
    <t>friendly / unfriendly</t>
  </si>
  <si>
    <t>conservative / innovative</t>
  </si>
  <si>
    <t>Participant</t>
  </si>
  <si>
    <t>Attractiveness</t>
  </si>
  <si>
    <t>Perspicuity</t>
  </si>
  <si>
    <t>Efficiency</t>
  </si>
  <si>
    <t>Dependability</t>
  </si>
  <si>
    <t>Stimulation</t>
  </si>
  <si>
    <t>Novelty</t>
  </si>
  <si>
    <t>P1</t>
  </si>
  <si>
    <t>P2</t>
  </si>
  <si>
    <t>P3</t>
  </si>
  <si>
    <t>P4</t>
  </si>
  <si>
    <t>P5</t>
  </si>
  <si>
    <t>Scale</t>
  </si>
  <si>
    <t>Mean (P1–P5)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</si>
</sst>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2" fontId="4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 t="s">
        <v>0</v>
      </c>
      <c r="B1" s="2" t="s">
        <v>1</v>
      </c>
    </row>
    <row r="2">
      <c r="A2" s="3" t="s">
        <v>2</v>
      </c>
      <c r="B2" s="4">
        <f t="shared" ref="B2:B3" si="1">+3</f>
        <v>3</v>
      </c>
    </row>
    <row r="3">
      <c r="A3" s="3" t="s">
        <v>3</v>
      </c>
      <c r="B3" s="4">
        <f t="shared" si="1"/>
        <v>3</v>
      </c>
    </row>
    <row r="4">
      <c r="A4" s="3" t="s">
        <v>4</v>
      </c>
      <c r="B4" s="5">
        <v>-2.0</v>
      </c>
    </row>
    <row r="5">
      <c r="A5" s="3" t="s">
        <v>5</v>
      </c>
      <c r="B5" s="5">
        <v>-3.0</v>
      </c>
    </row>
    <row r="6">
      <c r="A6" s="3" t="s">
        <v>6</v>
      </c>
      <c r="B6" s="5">
        <v>-3.0</v>
      </c>
    </row>
    <row r="7">
      <c r="A7" s="3" t="s">
        <v>7</v>
      </c>
      <c r="B7" s="4">
        <f>+1</f>
        <v>1</v>
      </c>
    </row>
    <row r="8">
      <c r="A8" s="3" t="s">
        <v>8</v>
      </c>
      <c r="B8" s="4">
        <f>+3</f>
        <v>3</v>
      </c>
    </row>
    <row r="9">
      <c r="A9" s="3" t="s">
        <v>9</v>
      </c>
      <c r="B9" s="5">
        <v>0.0</v>
      </c>
    </row>
    <row r="10">
      <c r="A10" s="3" t="s">
        <v>10</v>
      </c>
      <c r="B10" s="5">
        <v>-3.0</v>
      </c>
    </row>
    <row r="11">
      <c r="A11" s="3" t="s">
        <v>11</v>
      </c>
      <c r="B11" s="5">
        <v>-2.0</v>
      </c>
    </row>
    <row r="12">
      <c r="A12" s="3" t="s">
        <v>12</v>
      </c>
      <c r="B12" s="4">
        <f>+3</f>
        <v>3</v>
      </c>
    </row>
    <row r="13">
      <c r="A13" s="3" t="s">
        <v>13</v>
      </c>
      <c r="B13" s="5">
        <v>-3.0</v>
      </c>
    </row>
    <row r="14">
      <c r="A14" s="3" t="s">
        <v>14</v>
      </c>
      <c r="B14" s="4">
        <f>+3</f>
        <v>3</v>
      </c>
    </row>
    <row r="15">
      <c r="A15" s="3" t="s">
        <v>15</v>
      </c>
      <c r="B15" s="4">
        <f>+1</f>
        <v>1</v>
      </c>
    </row>
    <row r="16">
      <c r="A16" s="3" t="s">
        <v>16</v>
      </c>
      <c r="B16" s="4">
        <f>+3</f>
        <v>3</v>
      </c>
    </row>
    <row r="17">
      <c r="A17" s="3" t="s">
        <v>17</v>
      </c>
      <c r="B17" s="4">
        <f>+1</f>
        <v>1</v>
      </c>
    </row>
    <row r="18">
      <c r="A18" s="3" t="s">
        <v>18</v>
      </c>
      <c r="B18" s="5">
        <v>-3.0</v>
      </c>
    </row>
    <row r="19">
      <c r="A19" s="3" t="s">
        <v>19</v>
      </c>
      <c r="B19" s="5">
        <v>-2.0</v>
      </c>
    </row>
    <row r="20">
      <c r="A20" s="3" t="s">
        <v>20</v>
      </c>
      <c r="B20" s="5">
        <v>-3.0</v>
      </c>
    </row>
    <row r="21">
      <c r="A21" s="3" t="s">
        <v>21</v>
      </c>
      <c r="B21" s="4">
        <f>+3</f>
        <v>3</v>
      </c>
    </row>
    <row r="22">
      <c r="A22" s="3" t="s">
        <v>22</v>
      </c>
      <c r="B22" s="5">
        <v>-2.0</v>
      </c>
    </row>
    <row r="23">
      <c r="A23" s="3" t="s">
        <v>23</v>
      </c>
      <c r="B23" s="4">
        <f>+3</f>
        <v>3</v>
      </c>
    </row>
    <row r="24">
      <c r="A24" s="3" t="s">
        <v>24</v>
      </c>
      <c r="B24" s="5">
        <v>-3.0</v>
      </c>
    </row>
    <row r="25">
      <c r="A25" s="3" t="s">
        <v>25</v>
      </c>
      <c r="B25" s="5">
        <v>-2.0</v>
      </c>
    </row>
    <row r="26">
      <c r="A26" s="3" t="s">
        <v>26</v>
      </c>
      <c r="B26" s="5">
        <v>-3.0</v>
      </c>
    </row>
    <row r="27">
      <c r="A27" s="3" t="s">
        <v>27</v>
      </c>
      <c r="B27" s="4">
        <f>+2</f>
        <v>2</v>
      </c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1" t="s">
        <v>0</v>
      </c>
      <c r="B1" s="2" t="s">
        <v>1</v>
      </c>
    </row>
    <row r="2">
      <c r="A2" s="3" t="s">
        <v>2</v>
      </c>
      <c r="B2" s="4">
        <f t="shared" ref="B2:B3" si="1">+3</f>
        <v>3</v>
      </c>
    </row>
    <row r="3">
      <c r="A3" s="3" t="s">
        <v>3</v>
      </c>
      <c r="B3" s="4">
        <f t="shared" si="1"/>
        <v>3</v>
      </c>
    </row>
    <row r="4">
      <c r="A4" s="3" t="s">
        <v>4</v>
      </c>
      <c r="B4" s="5">
        <v>-3.0</v>
      </c>
    </row>
    <row r="5">
      <c r="A5" s="3" t="s">
        <v>5</v>
      </c>
      <c r="B5" s="5">
        <v>-3.0</v>
      </c>
    </row>
    <row r="6">
      <c r="A6" s="3" t="s">
        <v>6</v>
      </c>
      <c r="B6" s="5">
        <v>-3.0</v>
      </c>
    </row>
    <row r="7">
      <c r="A7" s="3" t="s">
        <v>7</v>
      </c>
      <c r="B7" s="5">
        <v>3.0</v>
      </c>
    </row>
    <row r="8">
      <c r="A8" s="3" t="s">
        <v>8</v>
      </c>
      <c r="B8" s="5">
        <v>3.0</v>
      </c>
    </row>
    <row r="9">
      <c r="A9" s="3" t="s">
        <v>9</v>
      </c>
      <c r="B9" s="5">
        <v>2.0</v>
      </c>
    </row>
    <row r="10">
      <c r="A10" s="3" t="s">
        <v>10</v>
      </c>
      <c r="B10" s="5">
        <v>-2.0</v>
      </c>
    </row>
    <row r="11">
      <c r="A11" s="3" t="s">
        <v>11</v>
      </c>
      <c r="B11" s="5">
        <v>-2.0</v>
      </c>
    </row>
    <row r="12">
      <c r="A12" s="3" t="s">
        <v>12</v>
      </c>
      <c r="B12" s="4">
        <f>+3</f>
        <v>3</v>
      </c>
    </row>
    <row r="13">
      <c r="A13" s="3" t="s">
        <v>13</v>
      </c>
      <c r="B13" s="5">
        <v>-3.0</v>
      </c>
    </row>
    <row r="14">
      <c r="A14" s="3" t="s">
        <v>14</v>
      </c>
      <c r="B14" s="5">
        <v>2.0</v>
      </c>
    </row>
    <row r="15">
      <c r="A15" s="3" t="s">
        <v>15</v>
      </c>
      <c r="B15" s="5">
        <v>2.0</v>
      </c>
    </row>
    <row r="16">
      <c r="A16" s="3" t="s">
        <v>16</v>
      </c>
      <c r="B16" s="4">
        <f>+3</f>
        <v>3</v>
      </c>
    </row>
    <row r="17">
      <c r="A17" s="3" t="s">
        <v>17</v>
      </c>
      <c r="B17" s="5">
        <v>2.0</v>
      </c>
    </row>
    <row r="18">
      <c r="A18" s="3" t="s">
        <v>18</v>
      </c>
      <c r="B18" s="5">
        <v>-2.0</v>
      </c>
    </row>
    <row r="19">
      <c r="A19" s="3" t="s">
        <v>19</v>
      </c>
      <c r="B19" s="5">
        <v>-3.0</v>
      </c>
    </row>
    <row r="20">
      <c r="A20" s="3" t="s">
        <v>20</v>
      </c>
      <c r="B20" s="5">
        <v>-2.0</v>
      </c>
    </row>
    <row r="21">
      <c r="A21" s="3" t="s">
        <v>21</v>
      </c>
      <c r="B21" s="5">
        <v>3.0</v>
      </c>
    </row>
    <row r="22">
      <c r="A22" s="3" t="s">
        <v>22</v>
      </c>
      <c r="B22" s="5">
        <v>-2.0</v>
      </c>
    </row>
    <row r="23">
      <c r="A23" s="3" t="s">
        <v>23</v>
      </c>
      <c r="B23" s="5">
        <v>2.0</v>
      </c>
    </row>
    <row r="24">
      <c r="A24" s="3" t="s">
        <v>24</v>
      </c>
      <c r="B24" s="5">
        <v>-3.0</v>
      </c>
    </row>
    <row r="25">
      <c r="A25" s="3" t="s">
        <v>25</v>
      </c>
      <c r="B25" s="5">
        <v>-2.0</v>
      </c>
    </row>
    <row r="26">
      <c r="A26" s="3" t="s">
        <v>26</v>
      </c>
      <c r="B26" s="5">
        <v>-3.0</v>
      </c>
    </row>
    <row r="27">
      <c r="A27" s="3" t="s">
        <v>27</v>
      </c>
      <c r="B27" s="5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1" t="s">
        <v>0</v>
      </c>
      <c r="B1" s="2" t="s">
        <v>1</v>
      </c>
    </row>
    <row r="2">
      <c r="A2" s="3" t="s">
        <v>2</v>
      </c>
      <c r="B2" s="4">
        <f t="shared" ref="B2:B3" si="1">+3</f>
        <v>3</v>
      </c>
    </row>
    <row r="3">
      <c r="A3" s="3" t="s">
        <v>3</v>
      </c>
      <c r="B3" s="4">
        <f t="shared" si="1"/>
        <v>3</v>
      </c>
    </row>
    <row r="4">
      <c r="A4" s="3" t="s">
        <v>4</v>
      </c>
      <c r="B4" s="5">
        <v>-3.0</v>
      </c>
    </row>
    <row r="5">
      <c r="A5" s="3" t="s">
        <v>5</v>
      </c>
      <c r="B5" s="5">
        <v>-3.0</v>
      </c>
    </row>
    <row r="6">
      <c r="A6" s="3" t="s">
        <v>6</v>
      </c>
      <c r="B6" s="5">
        <v>-3.0</v>
      </c>
    </row>
    <row r="7">
      <c r="A7" s="3" t="s">
        <v>7</v>
      </c>
      <c r="B7" s="5">
        <v>3.0</v>
      </c>
    </row>
    <row r="8">
      <c r="A8" s="3" t="s">
        <v>8</v>
      </c>
      <c r="B8" s="5">
        <v>3.0</v>
      </c>
    </row>
    <row r="9">
      <c r="A9" s="3" t="s">
        <v>9</v>
      </c>
      <c r="B9" s="5">
        <v>2.0</v>
      </c>
    </row>
    <row r="10">
      <c r="A10" s="3" t="s">
        <v>10</v>
      </c>
      <c r="B10" s="5">
        <v>-3.0</v>
      </c>
    </row>
    <row r="11">
      <c r="A11" s="3" t="s">
        <v>11</v>
      </c>
      <c r="B11" s="5">
        <v>3.0</v>
      </c>
    </row>
    <row r="12">
      <c r="A12" s="3" t="s">
        <v>12</v>
      </c>
      <c r="B12" s="4">
        <f>+3</f>
        <v>3</v>
      </c>
    </row>
    <row r="13">
      <c r="A13" s="3" t="s">
        <v>13</v>
      </c>
      <c r="B13" s="5">
        <v>-3.0</v>
      </c>
    </row>
    <row r="14">
      <c r="A14" s="3" t="s">
        <v>14</v>
      </c>
      <c r="B14" s="5">
        <v>3.0</v>
      </c>
    </row>
    <row r="15">
      <c r="A15" s="3" t="s">
        <v>15</v>
      </c>
      <c r="B15" s="5">
        <v>3.0</v>
      </c>
    </row>
    <row r="16">
      <c r="A16" s="3" t="s">
        <v>16</v>
      </c>
      <c r="B16" s="5">
        <v>0.0</v>
      </c>
    </row>
    <row r="17">
      <c r="A17" s="3" t="s">
        <v>17</v>
      </c>
      <c r="B17" s="5">
        <v>3.0</v>
      </c>
    </row>
    <row r="18">
      <c r="A18" s="3" t="s">
        <v>18</v>
      </c>
      <c r="B18" s="5">
        <v>-3.0</v>
      </c>
    </row>
    <row r="19">
      <c r="A19" s="3" t="s">
        <v>19</v>
      </c>
      <c r="B19" s="5">
        <v>-3.0</v>
      </c>
    </row>
    <row r="20">
      <c r="A20" s="3" t="s">
        <v>20</v>
      </c>
      <c r="B20" s="5">
        <v>-3.0</v>
      </c>
    </row>
    <row r="21">
      <c r="A21" s="3" t="s">
        <v>21</v>
      </c>
      <c r="B21" s="5">
        <v>3.0</v>
      </c>
    </row>
    <row r="22">
      <c r="A22" s="3" t="s">
        <v>22</v>
      </c>
      <c r="B22" s="5">
        <v>-3.0</v>
      </c>
    </row>
    <row r="23">
      <c r="A23" s="3" t="s">
        <v>23</v>
      </c>
      <c r="B23" s="5">
        <v>3.0</v>
      </c>
    </row>
    <row r="24">
      <c r="A24" s="3" t="s">
        <v>24</v>
      </c>
      <c r="B24" s="5">
        <v>-3.0</v>
      </c>
    </row>
    <row r="25">
      <c r="A25" s="3" t="s">
        <v>25</v>
      </c>
      <c r="B25" s="5">
        <v>-3.0</v>
      </c>
    </row>
    <row r="26">
      <c r="A26" s="3" t="s">
        <v>26</v>
      </c>
      <c r="B26" s="5">
        <v>-3.0</v>
      </c>
    </row>
    <row r="27">
      <c r="A27" s="3" t="s">
        <v>27</v>
      </c>
      <c r="B27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1" t="s">
        <v>0</v>
      </c>
      <c r="B1" s="2" t="s">
        <v>1</v>
      </c>
    </row>
    <row r="2">
      <c r="A2" s="3" t="s">
        <v>2</v>
      </c>
      <c r="B2" s="4">
        <f t="shared" ref="B2:B3" si="1">+3</f>
        <v>3</v>
      </c>
    </row>
    <row r="3">
      <c r="A3" s="3" t="s">
        <v>3</v>
      </c>
      <c r="B3" s="4">
        <f t="shared" si="1"/>
        <v>3</v>
      </c>
    </row>
    <row r="4">
      <c r="A4" s="3" t="s">
        <v>4</v>
      </c>
      <c r="B4" s="5">
        <v>-3.0</v>
      </c>
    </row>
    <row r="5">
      <c r="A5" s="3" t="s">
        <v>5</v>
      </c>
      <c r="B5" s="5">
        <v>-3.0</v>
      </c>
    </row>
    <row r="6">
      <c r="A6" s="3" t="s">
        <v>6</v>
      </c>
      <c r="B6" s="5">
        <v>-3.0</v>
      </c>
    </row>
    <row r="7">
      <c r="A7" s="3" t="s">
        <v>7</v>
      </c>
      <c r="B7" s="5">
        <v>3.0</v>
      </c>
    </row>
    <row r="8">
      <c r="A8" s="3" t="s">
        <v>8</v>
      </c>
      <c r="B8" s="5">
        <v>3.0</v>
      </c>
    </row>
    <row r="9">
      <c r="A9" s="3" t="s">
        <v>9</v>
      </c>
      <c r="B9" s="5">
        <v>3.0</v>
      </c>
    </row>
    <row r="10">
      <c r="A10" s="3" t="s">
        <v>10</v>
      </c>
      <c r="B10" s="5">
        <v>-3.0</v>
      </c>
    </row>
    <row r="11">
      <c r="A11" s="3" t="s">
        <v>11</v>
      </c>
      <c r="B11" s="5">
        <v>-3.0</v>
      </c>
    </row>
    <row r="12">
      <c r="A12" s="3" t="s">
        <v>12</v>
      </c>
      <c r="B12" s="4">
        <f>+3</f>
        <v>3</v>
      </c>
    </row>
    <row r="13">
      <c r="A13" s="3" t="s">
        <v>13</v>
      </c>
      <c r="B13" s="5">
        <v>-3.0</v>
      </c>
    </row>
    <row r="14">
      <c r="A14" s="3" t="s">
        <v>14</v>
      </c>
      <c r="B14" s="5">
        <v>3.0</v>
      </c>
    </row>
    <row r="15">
      <c r="A15" s="3" t="s">
        <v>15</v>
      </c>
      <c r="B15" s="5">
        <v>3.0</v>
      </c>
    </row>
    <row r="16">
      <c r="A16" s="3" t="s">
        <v>16</v>
      </c>
      <c r="B16" s="5">
        <v>3.0</v>
      </c>
    </row>
    <row r="17">
      <c r="A17" s="3" t="s">
        <v>17</v>
      </c>
      <c r="B17" s="5">
        <v>3.0</v>
      </c>
    </row>
    <row r="18">
      <c r="A18" s="3" t="s">
        <v>18</v>
      </c>
      <c r="B18" s="5">
        <v>-3.0</v>
      </c>
    </row>
    <row r="19">
      <c r="A19" s="3" t="s">
        <v>19</v>
      </c>
      <c r="B19" s="5">
        <v>-3.0</v>
      </c>
    </row>
    <row r="20">
      <c r="A20" s="3" t="s">
        <v>20</v>
      </c>
      <c r="B20" s="5">
        <v>-3.0</v>
      </c>
    </row>
    <row r="21">
      <c r="A21" s="3" t="s">
        <v>21</v>
      </c>
      <c r="B21" s="5">
        <v>3.0</v>
      </c>
    </row>
    <row r="22">
      <c r="A22" s="3" t="s">
        <v>22</v>
      </c>
      <c r="B22" s="5">
        <v>-3.0</v>
      </c>
    </row>
    <row r="23">
      <c r="A23" s="3" t="s">
        <v>23</v>
      </c>
      <c r="B23" s="5">
        <v>3.0</v>
      </c>
    </row>
    <row r="24">
      <c r="A24" s="3" t="s">
        <v>24</v>
      </c>
      <c r="B24" s="5">
        <v>-3.0</v>
      </c>
    </row>
    <row r="25">
      <c r="A25" s="3" t="s">
        <v>25</v>
      </c>
      <c r="B25" s="5">
        <v>-3.0</v>
      </c>
    </row>
    <row r="26">
      <c r="A26" s="3" t="s">
        <v>26</v>
      </c>
      <c r="B26" s="5">
        <v>-3.0</v>
      </c>
    </row>
    <row r="27">
      <c r="A27" s="3" t="s">
        <v>27</v>
      </c>
      <c r="B27" s="5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1" t="s">
        <v>0</v>
      </c>
      <c r="B1" s="2" t="s">
        <v>1</v>
      </c>
    </row>
    <row r="2">
      <c r="A2" s="3" t="s">
        <v>2</v>
      </c>
      <c r="B2" s="5">
        <v>2.0</v>
      </c>
    </row>
    <row r="3">
      <c r="A3" s="3" t="s">
        <v>3</v>
      </c>
      <c r="B3" s="5">
        <v>2.0</v>
      </c>
    </row>
    <row r="4">
      <c r="A4" s="3" t="s">
        <v>4</v>
      </c>
      <c r="B4" s="5">
        <v>-3.0</v>
      </c>
    </row>
    <row r="5">
      <c r="A5" s="3" t="s">
        <v>5</v>
      </c>
      <c r="B5" s="5">
        <v>-3.0</v>
      </c>
    </row>
    <row r="6">
      <c r="A6" s="3" t="s">
        <v>6</v>
      </c>
      <c r="B6" s="5">
        <v>-3.0</v>
      </c>
    </row>
    <row r="7">
      <c r="A7" s="3" t="s">
        <v>7</v>
      </c>
      <c r="B7" s="5">
        <v>3.0</v>
      </c>
    </row>
    <row r="8">
      <c r="A8" s="3" t="s">
        <v>8</v>
      </c>
      <c r="B8" s="5">
        <v>3.0</v>
      </c>
    </row>
    <row r="9">
      <c r="A9" s="3" t="s">
        <v>9</v>
      </c>
      <c r="B9" s="5">
        <v>2.0</v>
      </c>
    </row>
    <row r="10">
      <c r="A10" s="3" t="s">
        <v>10</v>
      </c>
      <c r="B10" s="5">
        <v>-2.0</v>
      </c>
    </row>
    <row r="11">
      <c r="A11" s="3" t="s">
        <v>11</v>
      </c>
      <c r="B11" s="5">
        <v>-2.0</v>
      </c>
    </row>
    <row r="12">
      <c r="A12" s="3" t="s">
        <v>12</v>
      </c>
      <c r="B12" s="5">
        <v>2.0</v>
      </c>
    </row>
    <row r="13">
      <c r="A13" s="3" t="s">
        <v>13</v>
      </c>
      <c r="B13" s="5">
        <v>-3.0</v>
      </c>
    </row>
    <row r="14">
      <c r="A14" s="3" t="s">
        <v>14</v>
      </c>
      <c r="B14" s="5">
        <v>2.0</v>
      </c>
    </row>
    <row r="15">
      <c r="A15" s="3" t="s">
        <v>15</v>
      </c>
      <c r="B15" s="5">
        <v>2.0</v>
      </c>
    </row>
    <row r="16">
      <c r="A16" s="3" t="s">
        <v>16</v>
      </c>
      <c r="B16" s="5">
        <v>2.0</v>
      </c>
    </row>
    <row r="17">
      <c r="A17" s="3" t="s">
        <v>17</v>
      </c>
      <c r="B17" s="5">
        <v>3.0</v>
      </c>
    </row>
    <row r="18">
      <c r="A18" s="3" t="s">
        <v>18</v>
      </c>
      <c r="B18" s="5">
        <v>-3.0</v>
      </c>
    </row>
    <row r="19">
      <c r="A19" s="3" t="s">
        <v>19</v>
      </c>
      <c r="B19" s="5">
        <v>-3.0</v>
      </c>
    </row>
    <row r="20">
      <c r="A20" s="3" t="s">
        <v>20</v>
      </c>
      <c r="B20" s="5">
        <v>-3.0</v>
      </c>
    </row>
    <row r="21">
      <c r="A21" s="3" t="s">
        <v>21</v>
      </c>
      <c r="B21" s="5">
        <v>3.0</v>
      </c>
    </row>
    <row r="22">
      <c r="A22" s="3" t="s">
        <v>22</v>
      </c>
      <c r="B22" s="5">
        <v>-2.0</v>
      </c>
    </row>
    <row r="23">
      <c r="A23" s="3" t="s">
        <v>23</v>
      </c>
      <c r="B23" s="5">
        <v>3.0</v>
      </c>
    </row>
    <row r="24">
      <c r="A24" s="3" t="s">
        <v>24</v>
      </c>
      <c r="B24" s="5">
        <v>-3.0</v>
      </c>
    </row>
    <row r="25">
      <c r="A25" s="3" t="s">
        <v>25</v>
      </c>
      <c r="B25" s="5">
        <v>-3.0</v>
      </c>
    </row>
    <row r="26">
      <c r="A26" s="3" t="s">
        <v>26</v>
      </c>
      <c r="B26" s="5">
        <v>-3.0</v>
      </c>
    </row>
    <row r="27">
      <c r="A27" s="3" t="s">
        <v>27</v>
      </c>
      <c r="B27" s="5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</row>
    <row r="2">
      <c r="A2" s="8" t="s">
        <v>35</v>
      </c>
      <c r="B2" s="9">
        <f>AVERAGE(UEQ_P1!B2,UEQ_P1!B12,UEQ_P1!B14,UEQ_P1!B16,UEQ_P1!B24,UEQ_P1!B25)</f>
        <v>1.166666667</v>
      </c>
      <c r="C2" s="10">
        <f>AVERAGE(UEQ_P1!B3,UEQ_P1!B5,UEQ_P1!B14,UEQ_P1!B22)</f>
        <v>0.25</v>
      </c>
      <c r="D2" s="10">
        <f>AVERAGE(UEQ_P1!B10,UEQ_P1!B21,UEQ_P1!B23)</f>
        <v>1</v>
      </c>
      <c r="E2" s="10">
        <f>AVERAGE(UEQ_P1!B9,UEQ_P1!B12,UEQ_P1!B18,UEQ_P1!B20)</f>
        <v>-0.75</v>
      </c>
      <c r="F2" s="10">
        <f>AVERAGE(UEQ_P1!B7,UEQ_P1!B8,UEQ_P1!B16,UEQ_P1!B19)</f>
        <v>1.25</v>
      </c>
      <c r="G2" s="10">
        <f>AVERAGE(UEQ_P1!B4,UEQ_P1!B11,UEQ_P1!B27)</f>
        <v>-0.6666666667</v>
      </c>
    </row>
    <row r="3">
      <c r="A3" s="8" t="s">
        <v>36</v>
      </c>
      <c r="B3" s="9">
        <f>AVERAGE(UEQ_P2!B2,UEQ_P2!B12,UEQ_P2!B14,UEQ_P2!B16,UEQ_P2!B24,UEQ_P2!B25)</f>
        <v>1</v>
      </c>
      <c r="C3" s="10">
        <f>AVERAGE(UEQ_P2!B3,UEQ_P2!B5,UEQ_P2!B14,UEQ_P2!B22)</f>
        <v>0</v>
      </c>
      <c r="D3" s="10">
        <f>AVERAGE(UEQ_P2!B10,UEQ_P2!B21,UEQ_P2!B23)</f>
        <v>1</v>
      </c>
      <c r="E3" s="10">
        <f>AVERAGE(UEQ_P2!B9,UEQ_P2!B12,UEQ_P2!B18,UEQ_P2!B20)</f>
        <v>0.25</v>
      </c>
      <c r="F3" s="10">
        <f>AVERAGE(UEQ_P2!B7,UEQ_P2!B8,UEQ_P2!B16,UEQ_P2!B19)</f>
        <v>1.5</v>
      </c>
      <c r="G3" s="10">
        <f>AVERAGE(UEQ_P2!B4,UEQ_P2!B11,UEQ_P2!B27)</f>
        <v>-1</v>
      </c>
    </row>
    <row r="4">
      <c r="A4" s="8" t="s">
        <v>37</v>
      </c>
      <c r="B4" s="9">
        <f>AVERAGE(UEQ_P3!B2,UEQ_P3!B12,UEQ_P3!B14,UEQ_P3!B16,UEQ_P3!B24,UEQ_P3!B25)</f>
        <v>0.5</v>
      </c>
      <c r="C4" s="10">
        <f>AVERAGE(UEQ_P3!B3,UEQ_P3!B5,UEQ_P3!B14,UEQ_P3!B22)</f>
        <v>0</v>
      </c>
      <c r="D4" s="10">
        <f>AVERAGE(UEQ_P3!B10,UEQ_P3!B21,UEQ_P3!B23)</f>
        <v>1</v>
      </c>
      <c r="E4" s="10">
        <f>AVERAGE(UEQ_P3!B9,UEQ_P3!B12,UEQ_P3!B18,UEQ_P3!B20)</f>
        <v>-0.25</v>
      </c>
      <c r="F4" s="10">
        <f>AVERAGE(UEQ_P3!B7,UEQ_P3!B8,UEQ_P3!B16,UEQ_P3!B19)</f>
        <v>0.75</v>
      </c>
      <c r="G4" s="10">
        <f>AVERAGE(UEQ_P3!B4,UEQ_P3!B11,UEQ_P3!B27)</f>
        <v>0</v>
      </c>
    </row>
    <row r="5">
      <c r="A5" s="8" t="s">
        <v>38</v>
      </c>
      <c r="B5" s="9">
        <f>AVERAGE(UEQ_P4!B2,UEQ_P4!B12,UEQ_P4!B14,UEQ_P4!B16,UEQ_P4!B24,UEQ_P4!B25)</f>
        <v>1</v>
      </c>
      <c r="C5" s="10">
        <f>AVERAGE(UEQ_P4!B3,UEQ_P4!B5,UEQ_P4!B14,UEQ_P4!B22)</f>
        <v>0</v>
      </c>
      <c r="D5" s="10">
        <f>AVERAGE(UEQ_P4!B10,UEQ_P4!B21,UEQ_P4!B23)</f>
        <v>1</v>
      </c>
      <c r="E5" s="10">
        <f>AVERAGE(UEQ_P4!B9,UEQ_P4!B12,UEQ_P4!B18,UEQ_P4!B20)</f>
        <v>0</v>
      </c>
      <c r="F5" s="10">
        <f>AVERAGE(UEQ_P4!B7,UEQ_P4!B8,UEQ_P4!B16,UEQ_P4!B19)</f>
        <v>1.5</v>
      </c>
      <c r="G5" s="10">
        <f>AVERAGE(UEQ_P4!B4,UEQ_P4!B11,UEQ_P4!B27)</f>
        <v>-1</v>
      </c>
    </row>
    <row r="6">
      <c r="A6" s="8" t="s">
        <v>39</v>
      </c>
      <c r="B6" s="9">
        <f>AVERAGE(UEQ_P5!B2,UEQ_P5!B12,UEQ_P5!B14,UEQ_P5!B16,UEQ_P5!B24,UEQ_P5!B25)</f>
        <v>0.3333333333</v>
      </c>
      <c r="C6" s="10">
        <f>AVERAGE(UEQ_P5!B3,UEQ_P5!B5,UEQ_P5!B14,UEQ_P5!B22)</f>
        <v>-0.25</v>
      </c>
      <c r="D6" s="10">
        <f>AVERAGE(UEQ_P5!B10,UEQ_P5!B21,UEQ_P5!B23)</f>
        <v>1.333333333</v>
      </c>
      <c r="E6" s="11">
        <f>AVERAGE(UEQ_P5!B9,UEQ_P5!B12,UEQ_P5!B18,UEQ_P5!B20)</f>
        <v>-0.5</v>
      </c>
      <c r="F6" s="11">
        <f>AVERAGE(UEQ_P5!B7,UEQ_P5!B8,UEQ_P5!B16,UEQ_P5!B19)</f>
        <v>1.25</v>
      </c>
      <c r="G6" s="11">
        <f>AVERAGE(UEQ_P5!B4,UEQ_P5!B11,UEQ_P5!B27)</f>
        <v>-0.6666666667</v>
      </c>
    </row>
    <row r="7">
      <c r="A7" s="12"/>
      <c r="B7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40</v>
      </c>
      <c r="B1" s="2" t="s">
        <v>41</v>
      </c>
    </row>
    <row r="2">
      <c r="A2" s="12" t="s">
        <v>29</v>
      </c>
      <c r="B2" s="10">
        <f>AVERAGE(UEQ_SCALES_BY_PARTICIPANT!B2:B6)</f>
        <v>0.8</v>
      </c>
    </row>
    <row r="3">
      <c r="A3" s="12" t="s">
        <v>30</v>
      </c>
      <c r="B3" s="10">
        <f>AVERAGE(UEQ_SCALES_BY_PARTICIPANT!C2:C6)</f>
        <v>0</v>
      </c>
    </row>
    <row r="4">
      <c r="A4" s="12" t="s">
        <v>31</v>
      </c>
      <c r="B4" s="13">
        <f>AVERAGE(UEQ_SCALES_BY_PARTICIPANT!D2:D6)</f>
        <v>1.066666667</v>
      </c>
    </row>
    <row r="5">
      <c r="A5" s="12" t="s">
        <v>32</v>
      </c>
      <c r="B5" s="10">
        <f>AVERAGE(UEQ_SCALES_BY_PARTICIPANT!E2:E6)</f>
        <v>-0.25</v>
      </c>
    </row>
    <row r="6">
      <c r="A6" s="12" t="s">
        <v>33</v>
      </c>
      <c r="B6" s="10">
        <f>AVERAGE(UEQ_SCALES_BY_PARTICIPANT!F2:F6)</f>
        <v>1.25</v>
      </c>
    </row>
    <row r="7">
      <c r="A7" s="12" t="s">
        <v>34</v>
      </c>
      <c r="B7" s="14">
        <f>AVERAGE(UEQ_SCALES_BY_PARTICIPANT!G2:G6)</f>
        <v>-0.6666666667</v>
      </c>
    </row>
  </sheetData>
  <drawing r:id="rId1"/>
</worksheet>
</file>